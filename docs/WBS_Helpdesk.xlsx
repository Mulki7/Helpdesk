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Ringkas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<sst xmlns="http://schemas.openxmlformats.org/spreadsheetml/2006/main" count="299" uniqueCount="180">
  <si>
    <t xml:space="preserve">WBS Aplikasi Helpdesk</t>
  </si>
  <si>
    <t xml:space="preserve">Prioritas: Must = wajib untuk spesifikasi minimal; Should = melengkapi dan menambah nilai. Semua fitur pada daftar ini dikerjakan.</t>
  </si>
  <si>
    <t xml:space="preserve">Estimasi jam (teks biru) adalah perkiraan pribadi dan dapat diubah; subtotal dan total dihitung otomatis.</t>
  </si>
  <si>
    <t xml:space="preserve">Kode</t>
  </si>
  <si>
    <t xml:space="preserve">Modul / Fitur</t>
  </si>
  <si>
    <t xml:space="preserve">Deskripsi</t>
  </si>
  <si>
    <t xml:space="preserve">Prioritas</t>
  </si>
  <si>
    <t xml:space="preserve">Status</t>
  </si>
  <si>
    <t xml:space="preserve">Estimasi (jam)</t>
  </si>
  <si>
    <t xml:space="preserve">1</t>
  </si>
  <si>
    <t xml:space="preserve">Autentikasi &amp; Manajemen User</t>
  </si>
  <si>
    <t xml:space="preserve">1.1</t>
  </si>
  <si>
    <t xml:space="preserve">Login/logout agen dan admin</t>
  </si>
  <si>
    <t xml:space="preserve">Login dengan email dan password, JWT access token + refresh token, logout mencabut sesi.</t>
  </si>
  <si>
    <t xml:space="preserve">Must</t>
  </si>
  <si>
    <t xml:space="preserve">Diimplementasikan</t>
  </si>
  <si>
    <t xml:space="preserve">1.2</t>
  </si>
  <si>
    <t xml:space="preserve">Role-based access (agent, admin)</t>
  </si>
  <si>
    <t xml:space="preserve">Pembatasan akses per role di middleware backend dan menu di tampilan.</t>
  </si>
  <si>
    <t xml:space="preserve">1.3</t>
  </si>
  <si>
    <t xml:space="preserve">Kelola akun agen</t>
  </si>
  <si>
    <t xml:space="preserve">Admin menambah, mengubah, dan menonaktifkan akun agen.</t>
  </si>
  <si>
    <t xml:space="preserve">Should</t>
  </si>
  <si>
    <t xml:space="preserve">1.4</t>
  </si>
  <si>
    <t xml:space="preserve">Identitas customer anonim (visitor token)</t>
  </si>
  <si>
    <t xml:space="preserve">Customer dikenali lewat token anonim di browser tanpa login.</t>
  </si>
  <si>
    <t xml:space="preserve">2</t>
  </si>
  <si>
    <t xml:space="preserve">Manajemen Tiket</t>
  </si>
  <si>
    <t xml:space="preserve">2.1</t>
  </si>
  <si>
    <t xml:space="preserve">Pembuatan tiket otomatis dari pesan pertama</t>
  </si>
  <si>
    <t xml:space="preserve">Pesan pertama customer membuat customer (jika baru) dan tiket berstatus open.</t>
  </si>
  <si>
    <t xml:space="preserve">2.2</t>
  </si>
  <si>
    <t xml:space="preserve">Status tiket</t>
  </si>
  <si>
    <t xml:space="preserve">Status open, in_progress, resolved, closed beserta aturan perpindahannya.</t>
  </si>
  <si>
    <t xml:space="preserve">2.3</t>
  </si>
  <si>
    <t xml:space="preserve">Claim dan release tiket</t>
  </si>
  <si>
    <t xml:space="preserve">Agen mengambil atau melepas tiket; first-claim-wins saat bersamaan.</t>
  </si>
  <si>
    <t xml:space="preserve">2.4</t>
  </si>
  <si>
    <t xml:space="preserve">Assign ulang oleh admin</t>
  </si>
  <si>
    <t xml:space="preserve">Admin memindahkan tiket ke agen lain tanpa mengubah status.</t>
  </si>
  <si>
    <t xml:space="preserve">2.5</t>
  </si>
  <si>
    <t xml:space="preserve">Prioritas tiket</t>
  </si>
  <si>
    <t xml:space="preserve">Prioritas low, medium, high yang dapat diubah agen/admin.</t>
  </si>
  <si>
    <t xml:space="preserve">2.6</t>
  </si>
  <si>
    <t xml:space="preserve">Auto-close setelah 24 jam</t>
  </si>
  <si>
    <t xml:space="preserve">Tiket resolved otomatis closed setelah 24 jam tanpa balasan customer.</t>
  </si>
  <si>
    <t xml:space="preserve">2.7</t>
  </si>
  <si>
    <t xml:space="preserve">Buka kembali atau buat tiket baru</t>
  </si>
  <si>
    <t xml:space="preserve">Chat saat resolved membuka kembali tiket; chat saat closed membuat tiket baru.</t>
  </si>
  <si>
    <t xml:space="preserve">2.8</t>
  </si>
  <si>
    <t xml:space="preserve">Riwayat aktivitas tiket (audit trail)</t>
  </si>
  <si>
    <t xml:space="preserve">Pencatatan pembuatan, assign, perubahan status, dan prioritas di ticket_events.</t>
  </si>
  <si>
    <t xml:space="preserve">2.9</t>
  </si>
  <si>
    <t xml:space="preserve">Daftar tiket dengan filter dan pencarian</t>
  </si>
  <si>
    <t xml:space="preserve">Daftar tiket dengan filter status dan agen serta pencarian.</t>
  </si>
  <si>
    <t xml:space="preserve">3</t>
  </si>
  <si>
    <t xml:space="preserve">Real-time Chat (Backend)</t>
  </si>
  <si>
    <t xml:space="preserve">3.1</t>
  </si>
  <si>
    <t xml:space="preserve">Server Socket.IO dengan autentikasi</t>
  </si>
  <si>
    <t xml:space="preserve">Handshake memakai JWT (agen/admin) atau visitor token (customer), pembagian room.</t>
  </si>
  <si>
    <t xml:space="preserve">3.2</t>
  </si>
  <si>
    <t xml:space="preserve">Kirim/terima pesan dan penyimpanan</t>
  </si>
  <si>
    <t xml:space="preserve">Event message:send dan message:new, pesan disimpan ke PostgreSQL.</t>
  </si>
  <si>
    <t xml:space="preserve">3.3</t>
  </si>
  <si>
    <t xml:space="preserve">Ack pesan dan pencegahan duplikat</t>
  </si>
  <si>
    <t xml:space="preserve">message:ack dan client_message_id unik per tiket agar retry tidak menggandakan pesan.</t>
  </si>
  <si>
    <t xml:space="preserve">3.4</t>
  </si>
  <si>
    <t xml:space="preserve">Sinkronisasi saat reconnect</t>
  </si>
  <si>
    <t xml:space="preserve">sync:request dengan ID pesan terakhir; server mengirim pesan yang terlewat.</t>
  </si>
  <si>
    <t xml:space="preserve">3.5</t>
  </si>
  <si>
    <t xml:space="preserve">Presence agen online/offline</t>
  </si>
  <si>
    <t xml:space="preserve">Status online agen untuk logika pesan otomatis dan notifikasi.</t>
  </si>
  <si>
    <t xml:space="preserve">3.6</t>
  </si>
  <si>
    <t xml:space="preserve">Pesan otomatis sistem saat agen offline</t>
  </si>
  <si>
    <t xml:space="preserve">Customer menerima pesan penerimaan ketika tidak ada agen online.</t>
  </si>
  <si>
    <t xml:space="preserve">3.7</t>
  </si>
  <si>
    <t xml:space="preserve">Rate limit pengiriman dari widget</t>
  </si>
  <si>
    <t xml:space="preserve">Pembatasan jumlah pesan per visitor untuk mencegah penyalahgunaan.</t>
  </si>
  <si>
    <t xml:space="preserve">4</t>
  </si>
  <si>
    <t xml:space="preserve">Live Chat Widget</t>
  </si>
  <si>
    <t xml:space="preserve">4.1</t>
  </si>
  <si>
    <t xml:space="preserve">Bubble chat di kanan bawah</t>
  </si>
  <si>
    <t xml:space="preserve">Tombol bubble dengan Shadow DOM agar CSS tidak bentrok dengan website induk.</t>
  </si>
  <si>
    <t xml:space="preserve">4.2</t>
  </si>
  <si>
    <t xml:space="preserve">Form identitas singkat</t>
  </si>
  <si>
    <t xml:space="preserve">Nama dan email opsional sebelum pesan pertama.</t>
  </si>
  <si>
    <t xml:space="preserve">4.3</t>
  </si>
  <si>
    <t xml:space="preserve">Jendela chat dan riwayat pesan</t>
  </si>
  <si>
    <t xml:space="preserve">Tampilan percakapan, input pesan, dan pemuatan riwayat.</t>
  </si>
  <si>
    <t xml:space="preserve">4.4</t>
  </si>
  <si>
    <t xml:space="preserve">Auto-reconnect, antrean offline, indikator koneksi</t>
  </si>
  <si>
    <t xml:space="preserve">Pesan pending disimpan lokal dan dikirim ulang saat tersambung; status koneksi ditampilkan.</t>
  </si>
  <si>
    <t xml:space="preserve">4.5</t>
  </si>
  <si>
    <t xml:space="preserve">Pemulihan percakapan saat reload</t>
  </si>
  <si>
    <t xml:space="preserve">Percakapan aktif dipulihkan dari visitor token setelah halaman dimuat ulang.</t>
  </si>
  <si>
    <t xml:space="preserve">4.6</t>
  </si>
  <si>
    <t xml:space="preserve">Halaman demo (/demo)</t>
  </si>
  <si>
    <t xml:space="preserve">Website contoh yang memasang widget lewat satu tag script.</t>
  </si>
  <si>
    <t xml:space="preserve">5</t>
  </si>
  <si>
    <t xml:space="preserve">Web App Agen/Admin (React)</t>
  </si>
  <si>
    <t xml:space="preserve">5.1</t>
  </si>
  <si>
    <t xml:space="preserve">Halaman login</t>
  </si>
  <si>
    <t xml:space="preserve">Form login dan penyimpanan sesi.</t>
  </si>
  <si>
    <t xml:space="preserve">5.2</t>
  </si>
  <si>
    <t xml:space="preserve">Antrean tiket dan filter</t>
  </si>
  <si>
    <t xml:space="preserve">Daftar tiket real-time dengan filter status dan agen.</t>
  </si>
  <si>
    <t xml:space="preserve">5.3</t>
  </si>
  <si>
    <t xml:space="preserve">Layar chat tiket</t>
  </si>
  <si>
    <t xml:space="preserve">Percakapan tiket; hanya agen yang ditugaskan dan admin yang dapat membalas.</t>
  </si>
  <si>
    <t xml:space="preserve">5.4</t>
  </si>
  <si>
    <t xml:space="preserve">Aksi tiket</t>
  </si>
  <si>
    <t xml:space="preserve">Claim, release, ubah status dan prioritas dari tampilan.</t>
  </si>
  <si>
    <t xml:space="preserve">5.5</t>
  </si>
  <si>
    <t xml:space="preserve">Halaman kelola agen (admin)</t>
  </si>
  <si>
    <t xml:space="preserve">Tambah, ubah, dan nonaktifkan agen; hanya tampil untuk admin.</t>
  </si>
  <si>
    <t xml:space="preserve">5.6</t>
  </si>
  <si>
    <t xml:space="preserve">Indikator koneksi dan notifikasi real-time</t>
  </si>
  <si>
    <t xml:space="preserve">Status koneksi dan penanda tiket/pesan baru di web.</t>
  </si>
  <si>
    <t xml:space="preserve">6</t>
  </si>
  <si>
    <t xml:space="preserve">Mobile App (Flutter)</t>
  </si>
  <si>
    <t xml:space="preserve">6.1</t>
  </si>
  <si>
    <t xml:space="preserve">Login agen</t>
  </si>
  <si>
    <t xml:space="preserve">Login dan penyimpanan token aman.</t>
  </si>
  <si>
    <t xml:space="preserve">6.2</t>
  </si>
  <si>
    <t xml:space="preserve">Daftar tiket</t>
  </si>
  <si>
    <t xml:space="preserve">Daftar tiket dengan update real-time.</t>
  </si>
  <si>
    <t xml:space="preserve">6.3</t>
  </si>
  <si>
    <t xml:space="preserve">Percakapan tiket di HP.</t>
  </si>
  <si>
    <t xml:space="preserve">6.4</t>
  </si>
  <si>
    <t xml:space="preserve">Claim, release, dan ubah status.</t>
  </si>
  <si>
    <t xml:space="preserve">6.5</t>
  </si>
  <si>
    <t xml:space="preserve">Auto-reconnect, antrean offline, cache lokal</t>
  </si>
  <si>
    <t xml:space="preserve">Pesan tetap tampil saat offline dan pesan pending dikirim ulang saat tersambung.</t>
  </si>
  <si>
    <t xml:space="preserve">6.6</t>
  </si>
  <si>
    <t xml:space="preserve">Build APK</t>
  </si>
  <si>
    <t xml:space="preserve">Build rilis APK yang terhubung ke backend online.</t>
  </si>
  <si>
    <t xml:space="preserve">7</t>
  </si>
  <si>
    <t xml:space="preserve">Notifikasi</t>
  </si>
  <si>
    <t xml:space="preserve">7.1</t>
  </si>
  <si>
    <t xml:space="preserve">Setup Firebase dan registrasi token perangkat</t>
  </si>
  <si>
    <t xml:space="preserve">Konfigurasi FCM dan penyimpanan token di device_tokens.</t>
  </si>
  <si>
    <t xml:space="preserve">7.2</t>
  </si>
  <si>
    <t xml:space="preserve">Pengiriman push tiket baru dan pesan baru</t>
  </si>
  <si>
    <t xml:space="preserve">Backend mengirim push ke perangkat agen saat ada tiket atau pesan customer.</t>
  </si>
  <si>
    <t xml:space="preserve">7.3</t>
  </si>
  <si>
    <t xml:space="preserve">Hanya kirim ke agen yang tidak online</t>
  </si>
  <si>
    <t xml:space="preserve">Mencegah notifikasi ganda ketika agen sedang terhubung di socket.</t>
  </si>
  <si>
    <t xml:space="preserve">8</t>
  </si>
  <si>
    <t xml:space="preserve">Database &amp; Infrastruktur</t>
  </si>
  <si>
    <t xml:space="preserve">8.1</t>
  </si>
  <si>
    <t xml:space="preserve">Desain schema dan migration</t>
  </si>
  <si>
    <t xml:space="preserve">Schema PostgreSQL dengan Prisma: relasi, enum, constraint, dan index.</t>
  </si>
  <si>
    <t xml:space="preserve">8.2</t>
  </si>
  <si>
    <t xml:space="preserve">Seed data</t>
  </si>
  <si>
    <t xml:space="preserve">Akun demo (admin dan agen) serta contoh tiket.</t>
  </si>
  <si>
    <t xml:space="preserve">8.3</t>
  </si>
  <si>
    <t xml:space="preserve">Skrip setup dan konfigurasi environment</t>
  </si>
  <si>
    <t xml:space="preserve">File .env.example, skrip npm untuk migrate dan seed, serta panduan setup PostgreSQL di README.</t>
  </si>
  <si>
    <t xml:space="preserve">8.4</t>
  </si>
  <si>
    <t xml:space="preserve">Deployment backend online</t>
  </si>
  <si>
    <t xml:space="preserve">Backend dapat diakses publik agar APK dan demo berfungsi.</t>
  </si>
  <si>
    <t xml:space="preserve">9</t>
  </si>
  <si>
    <t xml:space="preserve">Analisis &amp; Dokumentasi</t>
  </si>
  <si>
    <t xml:space="preserve">9.1</t>
  </si>
  <si>
    <t xml:space="preserve">BPMN swimlane</t>
  </si>
  <si>
    <t xml:space="preserve">Diagram alur dengan lane Customer, Sistem/Widget, Agen CS, dan Admin (PDF).</t>
  </si>
  <si>
    <t xml:space="preserve">9.2</t>
  </si>
  <si>
    <t xml:space="preserve">WBS</t>
  </si>
  <si>
    <t xml:space="preserve">Dokumen modul dan fitur ini.</t>
  </si>
  <si>
    <t xml:space="preserve">9.3</t>
  </si>
  <si>
    <t xml:space="preserve">README</t>
  </si>
  <si>
    <t xml:space="preserve">Cara menjalankan, akun demo, dan diagram arsitektur.</t>
  </si>
  <si>
    <t xml:space="preserve">9.4</t>
  </si>
  <si>
    <t xml:space="preserve">Diagram ERD</t>
  </si>
  <si>
    <t xml:space="preserve">Diagram relasi tabel database.</t>
  </si>
  <si>
    <t xml:space="preserve">TOTAL ESTIMASI</t>
  </si>
  <si>
    <t xml:space="preserve">Ringkasan per Modul</t>
  </si>
  <si>
    <t xml:space="preserve">Modul</t>
  </si>
  <si>
    <t xml:space="preserve">Jumlah Fitur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</si>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</sst>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70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26.2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true" outlineLevel="0" collapsed="false">
      <c r="A6" s="5" t="s">
        <v>9</v>
      </c>
      <c r="B6" s="6" t="s">
        <v>10</v>
      </c>
      <c r="C6" s="6"/>
      <c r="D6" s="6"/>
      <c r="E6" s="6"/>
      <c r="F6" s="5" t="n">
        <f aca="false">SUM(F7:F10)</f>
        <v>10</v>
      </c>
    </row>
    <row r="7" customFormat="false" ht="23.25" hidden="false" customHeight="true" outlineLevel="0" collapsed="false">
      <c r="A7" s="7" t="s">
        <v>11</v>
      </c>
      <c r="B7" s="8" t="s">
        <v>12</v>
      </c>
      <c r="C7" s="8" t="s">
        <v>13</v>
      </c>
      <c r="D7" s="7" t="s">
        <v>14</v>
      </c>
      <c r="E7" s="7" t="s">
        <v>15</v>
      </c>
      <c r="F7" s="9" t="n">
        <v>3</v>
      </c>
    </row>
    <row r="8" customFormat="false" ht="15" hidden="false" customHeight="true" outlineLevel="0" collapsed="false">
      <c r="A8" s="7" t="s">
        <v>16</v>
      </c>
      <c r="B8" s="8" t="s">
        <v>17</v>
      </c>
      <c r="C8" s="8" t="s">
        <v>18</v>
      </c>
      <c r="D8" s="7" t="s">
        <v>14</v>
      </c>
      <c r="E8" s="7" t="s">
        <v>15</v>
      </c>
      <c r="F8" s="9" t="n">
        <v>2</v>
      </c>
    </row>
    <row r="9" customFormat="false" ht="15" hidden="false" customHeight="true" outlineLevel="0" collapsed="false">
      <c r="A9" s="7" t="s">
        <v>19</v>
      </c>
      <c r="B9" s="8" t="s">
        <v>20</v>
      </c>
      <c r="C9" s="8" t="s">
        <v>21</v>
      </c>
      <c r="D9" s="7" t="s">
        <v>22</v>
      </c>
      <c r="E9" s="7" t="s">
        <v>15</v>
      </c>
      <c r="F9" s="9" t="n">
        <v>3</v>
      </c>
    </row>
    <row r="10" customFormat="false" ht="15" hidden="false" customHeight="true" outlineLevel="0" collapsed="false">
      <c r="A10" s="7" t="s">
        <v>23</v>
      </c>
      <c r="B10" s="8" t="s">
        <v>24</v>
      </c>
      <c r="C10" s="8" t="s">
        <v>25</v>
      </c>
      <c r="D10" s="7" t="s">
        <v>14</v>
      </c>
      <c r="E10" s="7" t="s">
        <v>15</v>
      </c>
      <c r="F10" s="9" t="n">
        <v>2</v>
      </c>
    </row>
    <row r="11" customFormat="false" ht="15" hidden="false" customHeight="true" outlineLevel="0" collapsed="false">
      <c r="A11" s="5" t="s">
        <v>26</v>
      </c>
      <c r="B11" s="6" t="s">
        <v>27</v>
      </c>
      <c r="C11" s="6"/>
      <c r="D11" s="6"/>
      <c r="E11" s="6"/>
      <c r="F11" s="5" t="n">
        <f aca="false">SUM(F12:F20)</f>
        <v>19</v>
      </c>
    </row>
    <row r="12" customFormat="false" ht="15" hidden="false" customHeight="true" outlineLevel="0" collapsed="false">
      <c r="A12" s="7" t="s">
        <v>28</v>
      </c>
      <c r="B12" s="8" t="s">
        <v>29</v>
      </c>
      <c r="C12" s="8" t="s">
        <v>30</v>
      </c>
      <c r="D12" s="7" t="s">
        <v>14</v>
      </c>
      <c r="E12" s="7" t="s">
        <v>15</v>
      </c>
      <c r="F12" s="9" t="n">
        <v>2</v>
      </c>
    </row>
    <row r="13" customFormat="false" ht="15" hidden="false" customHeight="true" outlineLevel="0" collapsed="false">
      <c r="A13" s="7" t="s">
        <v>31</v>
      </c>
      <c r="B13" s="8" t="s">
        <v>32</v>
      </c>
      <c r="C13" s="8" t="s">
        <v>33</v>
      </c>
      <c r="D13" s="7" t="s">
        <v>14</v>
      </c>
      <c r="E13" s="7" t="s">
        <v>15</v>
      </c>
      <c r="F13" s="9" t="n">
        <v>2</v>
      </c>
    </row>
    <row r="14" customFormat="false" ht="15" hidden="false" customHeight="true" outlineLevel="0" collapsed="false">
      <c r="A14" s="7" t="s">
        <v>34</v>
      </c>
      <c r="B14" s="8" t="s">
        <v>35</v>
      </c>
      <c r="C14" s="8" t="s">
        <v>36</v>
      </c>
      <c r="D14" s="7" t="s">
        <v>14</v>
      </c>
      <c r="E14" s="7" t="s">
        <v>15</v>
      </c>
      <c r="F14" s="9" t="n">
        <v>3</v>
      </c>
    </row>
    <row r="15" customFormat="false" ht="15" hidden="false" customHeight="true" outlineLevel="0" collapsed="false">
      <c r="A15" s="7" t="s">
        <v>37</v>
      </c>
      <c r="B15" s="8" t="s">
        <v>38</v>
      </c>
      <c r="C15" s="8" t="s">
        <v>39</v>
      </c>
      <c r="D15" s="7" t="s">
        <v>14</v>
      </c>
      <c r="E15" s="7" t="s">
        <v>15</v>
      </c>
      <c r="F15" s="9" t="n">
        <v>2</v>
      </c>
    </row>
    <row r="16" customFormat="false" ht="15" hidden="false" customHeight="true" outlineLevel="0" collapsed="false">
      <c r="A16" s="7" t="s">
        <v>40</v>
      </c>
      <c r="B16" s="8" t="s">
        <v>41</v>
      </c>
      <c r="C16" s="8" t="s">
        <v>42</v>
      </c>
      <c r="D16" s="7" t="s">
        <v>22</v>
      </c>
      <c r="E16" s="7" t="s">
        <v>15</v>
      </c>
      <c r="F16" s="9" t="n">
        <v>1</v>
      </c>
    </row>
    <row r="17" customFormat="false" ht="15" hidden="false" customHeight="true" outlineLevel="0" collapsed="false">
      <c r="A17" s="7" t="s">
        <v>43</v>
      </c>
      <c r="B17" s="8" t="s">
        <v>44</v>
      </c>
      <c r="C17" s="8" t="s">
        <v>45</v>
      </c>
      <c r="D17" s="7" t="s">
        <v>22</v>
      </c>
      <c r="E17" s="7" t="s">
        <v>15</v>
      </c>
      <c r="F17" s="9" t="n">
        <v>2</v>
      </c>
    </row>
    <row r="18" customFormat="false" ht="15" hidden="false" customHeight="true" outlineLevel="0" collapsed="false">
      <c r="A18" s="7" t="s">
        <v>46</v>
      </c>
      <c r="B18" s="8" t="s">
        <v>47</v>
      </c>
      <c r="C18" s="8" t="s">
        <v>48</v>
      </c>
      <c r="D18" s="7" t="s">
        <v>14</v>
      </c>
      <c r="E18" s="7" t="s">
        <v>15</v>
      </c>
      <c r="F18" s="9" t="n">
        <v>2</v>
      </c>
    </row>
    <row r="19" customFormat="false" ht="15" hidden="false" customHeight="true" outlineLevel="0" collapsed="false">
      <c r="A19" s="7" t="s">
        <v>49</v>
      </c>
      <c r="B19" s="8" t="s">
        <v>50</v>
      </c>
      <c r="C19" s="8" t="s">
        <v>51</v>
      </c>
      <c r="D19" s="7" t="s">
        <v>22</v>
      </c>
      <c r="E19" s="7" t="s">
        <v>15</v>
      </c>
      <c r="F19" s="9" t="n">
        <v>2</v>
      </c>
    </row>
    <row r="20" customFormat="false" ht="15" hidden="false" customHeight="true" outlineLevel="0" collapsed="false">
      <c r="A20" s="7" t="s">
        <v>52</v>
      </c>
      <c r="B20" s="8" t="s">
        <v>53</v>
      </c>
      <c r="C20" s="8" t="s">
        <v>54</v>
      </c>
      <c r="D20" s="7" t="s">
        <v>14</v>
      </c>
      <c r="E20" s="7" t="s">
        <v>15</v>
      </c>
      <c r="F20" s="9" t="n">
        <v>3</v>
      </c>
    </row>
    <row r="21" customFormat="false" ht="15" hidden="false" customHeight="true" outlineLevel="0" collapsed="false">
      <c r="A21" s="5" t="s">
        <v>55</v>
      </c>
      <c r="B21" s="6" t="s">
        <v>56</v>
      </c>
      <c r="C21" s="6"/>
      <c r="D21" s="6"/>
      <c r="E21" s="6"/>
      <c r="F21" s="5" t="n">
        <f aca="false">SUM(F22:F28)</f>
        <v>16</v>
      </c>
    </row>
    <row r="22" customFormat="false" ht="23.25" hidden="false" customHeight="true" outlineLevel="0" collapsed="false">
      <c r="A22" s="7" t="s">
        <v>57</v>
      </c>
      <c r="B22" s="8" t="s">
        <v>58</v>
      </c>
      <c r="C22" s="8" t="s">
        <v>59</v>
      </c>
      <c r="D22" s="7" t="s">
        <v>14</v>
      </c>
      <c r="E22" s="7" t="s">
        <v>15</v>
      </c>
      <c r="F22" s="9" t="n">
        <v>3</v>
      </c>
    </row>
    <row r="23" customFormat="false" ht="15" hidden="false" customHeight="true" outlineLevel="0" collapsed="false">
      <c r="A23" s="7" t="s">
        <v>60</v>
      </c>
      <c r="B23" s="8" t="s">
        <v>61</v>
      </c>
      <c r="C23" s="8" t="s">
        <v>62</v>
      </c>
      <c r="D23" s="7" t="s">
        <v>14</v>
      </c>
      <c r="E23" s="7" t="s">
        <v>15</v>
      </c>
      <c r="F23" s="9" t="n">
        <v>3</v>
      </c>
    </row>
    <row r="24" customFormat="false" ht="23.25" hidden="false" customHeight="true" outlineLevel="0" collapsed="false">
      <c r="A24" s="7" t="s">
        <v>63</v>
      </c>
      <c r="B24" s="8" t="s">
        <v>64</v>
      </c>
      <c r="C24" s="8" t="s">
        <v>65</v>
      </c>
      <c r="D24" s="7" t="s">
        <v>14</v>
      </c>
      <c r="E24" s="7" t="s">
        <v>15</v>
      </c>
      <c r="F24" s="9" t="n">
        <v>3</v>
      </c>
    </row>
    <row r="25" customFormat="false" ht="15" hidden="false" customHeight="true" outlineLevel="0" collapsed="false">
      <c r="A25" s="7" t="s">
        <v>66</v>
      </c>
      <c r="B25" s="8" t="s">
        <v>67</v>
      </c>
      <c r="C25" s="8" t="s">
        <v>68</v>
      </c>
      <c r="D25" s="7" t="s">
        <v>14</v>
      </c>
      <c r="E25" s="7" t="s">
        <v>15</v>
      </c>
      <c r="F25" s="9" t="n">
        <v>3</v>
      </c>
    </row>
    <row r="26" customFormat="false" ht="15" hidden="false" customHeight="true" outlineLevel="0" collapsed="false">
      <c r="A26" s="7" t="s">
        <v>69</v>
      </c>
      <c r="B26" s="8" t="s">
        <v>70</v>
      </c>
      <c r="C26" s="8" t="s">
        <v>71</v>
      </c>
      <c r="D26" s="7" t="s">
        <v>14</v>
      </c>
      <c r="E26" s="7" t="s">
        <v>15</v>
      </c>
      <c r="F26" s="9" t="n">
        <v>2</v>
      </c>
    </row>
    <row r="27" customFormat="false" ht="15" hidden="false" customHeight="true" outlineLevel="0" collapsed="false">
      <c r="A27" s="7" t="s">
        <v>72</v>
      </c>
      <c r="B27" s="8" t="s">
        <v>73</v>
      </c>
      <c r="C27" s="8" t="s">
        <v>74</v>
      </c>
      <c r="D27" s="7" t="s">
        <v>14</v>
      </c>
      <c r="E27" s="7" t="s">
        <v>15</v>
      </c>
      <c r="F27" s="9" t="n">
        <v>1</v>
      </c>
    </row>
    <row r="28" customFormat="false" ht="15" hidden="false" customHeight="true" outlineLevel="0" collapsed="false">
      <c r="A28" s="7" t="s">
        <v>75</v>
      </c>
      <c r="B28" s="8" t="s">
        <v>76</v>
      </c>
      <c r="C28" s="8" t="s">
        <v>77</v>
      </c>
      <c r="D28" s="7" t="s">
        <v>22</v>
      </c>
      <c r="E28" s="7" t="s">
        <v>15</v>
      </c>
      <c r="F28" s="9" t="n">
        <v>1</v>
      </c>
    </row>
    <row r="29" customFormat="false" ht="15" hidden="false" customHeight="true" outlineLevel="0" collapsed="false">
      <c r="A29" s="5" t="s">
        <v>78</v>
      </c>
      <c r="B29" s="6" t="s">
        <v>79</v>
      </c>
      <c r="C29" s="6"/>
      <c r="D29" s="6"/>
      <c r="E29" s="6"/>
      <c r="F29" s="5" t="n">
        <f aca="false">SUM(F30:F35)</f>
        <v>18</v>
      </c>
    </row>
    <row r="30" customFormat="false" ht="15" hidden="false" customHeight="true" outlineLevel="0" collapsed="false">
      <c r="A30" s="7" t="s">
        <v>80</v>
      </c>
      <c r="B30" s="8" t="s">
        <v>81</v>
      </c>
      <c r="C30" s="8" t="s">
        <v>82</v>
      </c>
      <c r="D30" s="7" t="s">
        <v>14</v>
      </c>
      <c r="E30" s="7" t="s">
        <v>15</v>
      </c>
      <c r="F30" s="9" t="n">
        <v>4</v>
      </c>
    </row>
    <row r="31" customFormat="false" ht="15" hidden="false" customHeight="true" outlineLevel="0" collapsed="false">
      <c r="A31" s="7" t="s">
        <v>83</v>
      </c>
      <c r="B31" s="8" t="s">
        <v>84</v>
      </c>
      <c r="C31" s="8" t="s">
        <v>85</v>
      </c>
      <c r="D31" s="7" t="s">
        <v>14</v>
      </c>
      <c r="E31" s="7" t="s">
        <v>15</v>
      </c>
      <c r="F31" s="9" t="n">
        <v>2</v>
      </c>
    </row>
    <row r="32" customFormat="false" ht="15" hidden="false" customHeight="true" outlineLevel="0" collapsed="false">
      <c r="A32" s="7" t="s">
        <v>86</v>
      </c>
      <c r="B32" s="8" t="s">
        <v>87</v>
      </c>
      <c r="C32" s="8" t="s">
        <v>88</v>
      </c>
      <c r="D32" s="7" t="s">
        <v>14</v>
      </c>
      <c r="E32" s="7" t="s">
        <v>15</v>
      </c>
      <c r="F32" s="9" t="n">
        <v>4</v>
      </c>
    </row>
    <row r="33" customFormat="false" ht="23.25" hidden="false" customHeight="true" outlineLevel="0" collapsed="false">
      <c r="A33" s="7" t="s">
        <v>89</v>
      </c>
      <c r="B33" s="8" t="s">
        <v>90</v>
      </c>
      <c r="C33" s="8" t="s">
        <v>91</v>
      </c>
      <c r="D33" s="7" t="s">
        <v>14</v>
      </c>
      <c r="E33" s="7" t="s">
        <v>15</v>
      </c>
      <c r="F33" s="9" t="n">
        <v>5</v>
      </c>
    </row>
    <row r="34" customFormat="false" ht="15" hidden="false" customHeight="true" outlineLevel="0" collapsed="false">
      <c r="A34" s="7" t="s">
        <v>92</v>
      </c>
      <c r="B34" s="8" t="s">
        <v>93</v>
      </c>
      <c r="C34" s="8" t="s">
        <v>94</v>
      </c>
      <c r="D34" s="7" t="s">
        <v>14</v>
      </c>
      <c r="E34" s="7" t="s">
        <v>15</v>
      </c>
      <c r="F34" s="9" t="n">
        <v>2</v>
      </c>
    </row>
    <row r="35" customFormat="false" ht="15" hidden="false" customHeight="true" outlineLevel="0" collapsed="false">
      <c r="A35" s="7" t="s">
        <v>95</v>
      </c>
      <c r="B35" s="8" t="s">
        <v>96</v>
      </c>
      <c r="C35" s="8" t="s">
        <v>97</v>
      </c>
      <c r="D35" s="7" t="s">
        <v>14</v>
      </c>
      <c r="E35" s="7" t="s">
        <v>15</v>
      </c>
      <c r="F35" s="9" t="n">
        <v>1</v>
      </c>
    </row>
    <row r="36" customFormat="false" ht="15" hidden="false" customHeight="true" outlineLevel="0" collapsed="false">
      <c r="A36" s="5" t="s">
        <v>98</v>
      </c>
      <c r="B36" s="6" t="s">
        <v>99</v>
      </c>
      <c r="C36" s="6"/>
      <c r="D36" s="6"/>
      <c r="E36" s="6"/>
      <c r="F36" s="5" t="n">
        <f aca="false">SUM(F37:F42)</f>
        <v>19</v>
      </c>
    </row>
    <row r="37" customFormat="false" ht="15" hidden="false" customHeight="true" outlineLevel="0" collapsed="false">
      <c r="A37" s="7" t="s">
        <v>100</v>
      </c>
      <c r="B37" s="8" t="s">
        <v>101</v>
      </c>
      <c r="C37" s="8" t="s">
        <v>102</v>
      </c>
      <c r="D37" s="7" t="s">
        <v>14</v>
      </c>
      <c r="E37" s="7" t="s">
        <v>15</v>
      </c>
      <c r="F37" s="9" t="n">
        <v>2</v>
      </c>
    </row>
    <row r="38" customFormat="false" ht="15" hidden="false" customHeight="true" outlineLevel="0" collapsed="false">
      <c r="A38" s="7" t="s">
        <v>103</v>
      </c>
      <c r="B38" s="8" t="s">
        <v>104</v>
      </c>
      <c r="C38" s="8" t="s">
        <v>105</v>
      </c>
      <c r="D38" s="7" t="s">
        <v>14</v>
      </c>
      <c r="E38" s="7" t="s">
        <v>15</v>
      </c>
      <c r="F38" s="9" t="n">
        <v>4</v>
      </c>
    </row>
    <row r="39" customFormat="false" ht="15" hidden="false" customHeight="true" outlineLevel="0" collapsed="false">
      <c r="A39" s="7" t="s">
        <v>106</v>
      </c>
      <c r="B39" s="8" t="s">
        <v>107</v>
      </c>
      <c r="C39" s="8" t="s">
        <v>108</v>
      </c>
      <c r="D39" s="7" t="s">
        <v>14</v>
      </c>
      <c r="E39" s="7" t="s">
        <v>15</v>
      </c>
      <c r="F39" s="9" t="n">
        <v>5</v>
      </c>
    </row>
    <row r="40" customFormat="false" ht="15" hidden="false" customHeight="true" outlineLevel="0" collapsed="false">
      <c r="A40" s="7" t="s">
        <v>109</v>
      </c>
      <c r="B40" s="8" t="s">
        <v>110</v>
      </c>
      <c r="C40" s="8" t="s">
        <v>111</v>
      </c>
      <c r="D40" s="7" t="s">
        <v>14</v>
      </c>
      <c r="E40" s="7" t="s">
        <v>15</v>
      </c>
      <c r="F40" s="9" t="n">
        <v>3</v>
      </c>
    </row>
    <row r="41" customFormat="false" ht="15" hidden="false" customHeight="true" outlineLevel="0" collapsed="false">
      <c r="A41" s="7" t="s">
        <v>112</v>
      </c>
      <c r="B41" s="8" t="s">
        <v>113</v>
      </c>
      <c r="C41" s="8" t="s">
        <v>114</v>
      </c>
      <c r="D41" s="7" t="s">
        <v>22</v>
      </c>
      <c r="E41" s="7" t="s">
        <v>15</v>
      </c>
      <c r="F41" s="9" t="n">
        <v>3</v>
      </c>
    </row>
    <row r="42" customFormat="false" ht="15" hidden="false" customHeight="true" outlineLevel="0" collapsed="false">
      <c r="A42" s="7" t="s">
        <v>115</v>
      </c>
      <c r="B42" s="8" t="s">
        <v>116</v>
      </c>
      <c r="C42" s="8" t="s">
        <v>117</v>
      </c>
      <c r="D42" s="7" t="s">
        <v>22</v>
      </c>
      <c r="E42" s="7" t="s">
        <v>15</v>
      </c>
      <c r="F42" s="9" t="n">
        <v>2</v>
      </c>
    </row>
    <row r="43" customFormat="false" ht="15" hidden="false" customHeight="true" outlineLevel="0" collapsed="false">
      <c r="A43" s="5" t="s">
        <v>118</v>
      </c>
      <c r="B43" s="6" t="s">
        <v>119</v>
      </c>
      <c r="C43" s="6"/>
      <c r="D43" s="6"/>
      <c r="E43" s="6"/>
      <c r="F43" s="5" t="n">
        <f aca="false">SUM(F44:F49)</f>
        <v>21</v>
      </c>
    </row>
    <row r="44" customFormat="false" ht="15" hidden="false" customHeight="true" outlineLevel="0" collapsed="false">
      <c r="A44" s="7" t="s">
        <v>120</v>
      </c>
      <c r="B44" s="8" t="s">
        <v>121</v>
      </c>
      <c r="C44" s="8" t="s">
        <v>122</v>
      </c>
      <c r="D44" s="7" t="s">
        <v>14</v>
      </c>
      <c r="E44" s="7" t="s">
        <v>15</v>
      </c>
      <c r="F44" s="9" t="n">
        <v>3</v>
      </c>
    </row>
    <row r="45" customFormat="false" ht="15" hidden="false" customHeight="true" outlineLevel="0" collapsed="false">
      <c r="A45" s="7" t="s">
        <v>123</v>
      </c>
      <c r="B45" s="8" t="s">
        <v>124</v>
      </c>
      <c r="C45" s="8" t="s">
        <v>125</v>
      </c>
      <c r="D45" s="7" t="s">
        <v>14</v>
      </c>
      <c r="E45" s="7" t="s">
        <v>15</v>
      </c>
      <c r="F45" s="9" t="n">
        <v>3</v>
      </c>
    </row>
    <row r="46" customFormat="false" ht="15" hidden="false" customHeight="true" outlineLevel="0" collapsed="false">
      <c r="A46" s="7" t="s">
        <v>126</v>
      </c>
      <c r="B46" s="8" t="s">
        <v>107</v>
      </c>
      <c r="C46" s="8" t="s">
        <v>127</v>
      </c>
      <c r="D46" s="7" t="s">
        <v>14</v>
      </c>
      <c r="E46" s="7" t="s">
        <v>15</v>
      </c>
      <c r="F46" s="9" t="n">
        <v>5</v>
      </c>
    </row>
    <row r="47" customFormat="false" ht="15" hidden="false" customHeight="true" outlineLevel="0" collapsed="false">
      <c r="A47" s="7" t="s">
        <v>128</v>
      </c>
      <c r="B47" s="8" t="s">
        <v>110</v>
      </c>
      <c r="C47" s="8" t="s">
        <v>129</v>
      </c>
      <c r="D47" s="7" t="s">
        <v>14</v>
      </c>
      <c r="E47" s="7" t="s">
        <v>15</v>
      </c>
      <c r="F47" s="9" t="n">
        <v>2</v>
      </c>
    </row>
    <row r="48" customFormat="false" ht="15" hidden="false" customHeight="true" outlineLevel="0" collapsed="false">
      <c r="A48" s="7" t="s">
        <v>130</v>
      </c>
      <c r="B48" s="8" t="s">
        <v>131</v>
      </c>
      <c r="C48" s="8" t="s">
        <v>132</v>
      </c>
      <c r="D48" s="7" t="s">
        <v>14</v>
      </c>
      <c r="E48" s="7" t="s">
        <v>15</v>
      </c>
      <c r="F48" s="9" t="n">
        <v>6</v>
      </c>
    </row>
    <row r="49" customFormat="false" ht="15" hidden="false" customHeight="true" outlineLevel="0" collapsed="false">
      <c r="A49" s="7" t="s">
        <v>133</v>
      </c>
      <c r="B49" s="8" t="s">
        <v>134</v>
      </c>
      <c r="C49" s="8" t="s">
        <v>135</v>
      </c>
      <c r="D49" s="7" t="s">
        <v>14</v>
      </c>
      <c r="E49" s="7" t="s">
        <v>15</v>
      </c>
      <c r="F49" s="9" t="n">
        <v>2</v>
      </c>
    </row>
    <row r="50" customFormat="false" ht="15" hidden="false" customHeight="true" outlineLevel="0" collapsed="false">
      <c r="A50" s="5" t="s">
        <v>136</v>
      </c>
      <c r="B50" s="6" t="s">
        <v>137</v>
      </c>
      <c r="C50" s="6"/>
      <c r="D50" s="6"/>
      <c r="E50" s="6"/>
      <c r="F50" s="5" t="n">
        <f aca="false">SUM(F51:F53)</f>
        <v>8</v>
      </c>
    </row>
    <row r="51" customFormat="false" ht="15" hidden="false" customHeight="true" outlineLevel="0" collapsed="false">
      <c r="A51" s="7" t="s">
        <v>138</v>
      </c>
      <c r="B51" s="8" t="s">
        <v>139</v>
      </c>
      <c r="C51" s="8" t="s">
        <v>140</v>
      </c>
      <c r="D51" s="7" t="s">
        <v>22</v>
      </c>
      <c r="E51" s="7" t="s">
        <v>15</v>
      </c>
      <c r="F51" s="9" t="n">
        <v>3</v>
      </c>
    </row>
    <row r="52" customFormat="false" ht="15" hidden="false" customHeight="true" outlineLevel="0" collapsed="false">
      <c r="A52" s="7" t="s">
        <v>141</v>
      </c>
      <c r="B52" s="8" t="s">
        <v>142</v>
      </c>
      <c r="C52" s="8" t="s">
        <v>143</v>
      </c>
      <c r="D52" s="7" t="s">
        <v>22</v>
      </c>
      <c r="E52" s="7" t="s">
        <v>15</v>
      </c>
      <c r="F52" s="9" t="n">
        <v>3</v>
      </c>
    </row>
    <row r="53" customFormat="false" ht="15" hidden="false" customHeight="true" outlineLevel="0" collapsed="false">
      <c r="A53" s="7" t="s">
        <v>144</v>
      </c>
      <c r="B53" s="8" t="s">
        <v>145</v>
      </c>
      <c r="C53" s="8" t="s">
        <v>146</v>
      </c>
      <c r="D53" s="7" t="s">
        <v>22</v>
      </c>
      <c r="E53" s="7" t="s">
        <v>15</v>
      </c>
      <c r="F53" s="9" t="n">
        <v>2</v>
      </c>
    </row>
    <row r="54" customFormat="false" ht="15" hidden="false" customHeight="true" outlineLevel="0" collapsed="false">
      <c r="A54" s="5" t="s">
        <v>147</v>
      </c>
      <c r="B54" s="6" t="s">
        <v>148</v>
      </c>
      <c r="C54" s="6"/>
      <c r="D54" s="6"/>
      <c r="E54" s="6"/>
      <c r="F54" s="5" t="n">
        <f aca="false">SUM(F55:F58)</f>
        <v>11</v>
      </c>
    </row>
    <row r="55" customFormat="false" ht="15" hidden="false" customHeight="true" outlineLevel="0" collapsed="false">
      <c r="A55" s="7" t="s">
        <v>149</v>
      </c>
      <c r="B55" s="8" t="s">
        <v>150</v>
      </c>
      <c r="C55" s="8" t="s">
        <v>151</v>
      </c>
      <c r="D55" s="7" t="s">
        <v>14</v>
      </c>
      <c r="E55" s="7" t="s">
        <v>15</v>
      </c>
      <c r="F55" s="9" t="n">
        <v>4</v>
      </c>
    </row>
    <row r="56" customFormat="false" ht="15" hidden="false" customHeight="true" outlineLevel="0" collapsed="false">
      <c r="A56" s="7" t="s">
        <v>152</v>
      </c>
      <c r="B56" s="8" t="s">
        <v>153</v>
      </c>
      <c r="C56" s="8" t="s">
        <v>154</v>
      </c>
      <c r="D56" s="7" t="s">
        <v>14</v>
      </c>
      <c r="E56" s="7" t="s">
        <v>15</v>
      </c>
      <c r="F56" s="9" t="n">
        <v>2</v>
      </c>
    </row>
    <row r="57" customFormat="false" ht="15" hidden="false" customHeight="true" outlineLevel="0" collapsed="false">
      <c r="A57" s="7" t="s">
        <v>155</v>
      </c>
      <c r="B57" s="8" t="s">
        <v>156</v>
      </c>
      <c r="C57" s="8" t="s">
        <v>157</v>
      </c>
      <c r="D57" s="7" t="s">
        <v>14</v>
      </c>
      <c r="E57" s="7" t="s">
        <v>15</v>
      </c>
      <c r="F57" s="9" t="n">
        <v>2</v>
      </c>
    </row>
    <row r="58" customFormat="false" ht="15" hidden="false" customHeight="true" outlineLevel="0" collapsed="false">
      <c r="A58" s="7" t="s">
        <v>158</v>
      </c>
      <c r="B58" s="8" t="s">
        <v>159</v>
      </c>
      <c r="C58" s="8" t="s">
        <v>160</v>
      </c>
      <c r="D58" s="7" t="s">
        <v>14</v>
      </c>
      <c r="E58" s="7" t="s">
        <v>15</v>
      </c>
      <c r="F58" s="9" t="n">
        <v>3</v>
      </c>
    </row>
    <row r="59" customFormat="false" ht="15" hidden="false" customHeight="true" outlineLevel="0" collapsed="false">
      <c r="A59" s="5" t="s">
        <v>161</v>
      </c>
      <c r="B59" s="6" t="s">
        <v>162</v>
      </c>
      <c r="C59" s="6"/>
      <c r="D59" s="6"/>
      <c r="E59" s="6"/>
      <c r="F59" s="5" t="n">
        <f aca="false">SUM(F60:F63)</f>
        <v>9</v>
      </c>
    </row>
    <row r="60" customFormat="false" ht="15" hidden="false" customHeight="true" outlineLevel="0" collapsed="false">
      <c r="A60" s="7" t="s">
        <v>163</v>
      </c>
      <c r="B60" s="8" t="s">
        <v>164</v>
      </c>
      <c r="C60" s="8" t="s">
        <v>165</v>
      </c>
      <c r="D60" s="7" t="s">
        <v>14</v>
      </c>
      <c r="E60" s="7" t="s">
        <v>15</v>
      </c>
      <c r="F60" s="9" t="n">
        <v>4</v>
      </c>
    </row>
    <row r="61" customFormat="false" ht="15" hidden="false" customHeight="true" outlineLevel="0" collapsed="false">
      <c r="A61" s="7" t="s">
        <v>166</v>
      </c>
      <c r="B61" s="8" t="s">
        <v>167</v>
      </c>
      <c r="C61" s="8" t="s">
        <v>168</v>
      </c>
      <c r="D61" s="7" t="s">
        <v>14</v>
      </c>
      <c r="E61" s="7" t="s">
        <v>15</v>
      </c>
      <c r="F61" s="9" t="n">
        <v>2</v>
      </c>
    </row>
    <row r="62" customFormat="false" ht="15" hidden="false" customHeight="true" outlineLevel="0" collapsed="false">
      <c r="A62" s="7" t="s">
        <v>169</v>
      </c>
      <c r="B62" s="8" t="s">
        <v>170</v>
      </c>
      <c r="C62" s="8" t="s">
        <v>171</v>
      </c>
      <c r="D62" s="7" t="s">
        <v>14</v>
      </c>
      <c r="E62" s="7" t="s">
        <v>15</v>
      </c>
      <c r="F62" s="9" t="n">
        <v>2</v>
      </c>
    </row>
    <row r="63" customFormat="false" ht="15" hidden="false" customHeight="true" outlineLevel="0" collapsed="false">
      <c r="A63" s="7" t="s">
        <v>172</v>
      </c>
      <c r="B63" s="8" t="s">
        <v>173</v>
      </c>
      <c r="C63" s="8" t="s">
        <v>174</v>
      </c>
      <c r="D63" s="7" t="s">
        <v>22</v>
      </c>
      <c r="E63" s="7" t="s">
        <v>15</v>
      </c>
      <c r="F63" s="9" t="n">
        <v>1</v>
      </c>
    </row>
    <row r="64" customFormat="false" ht="15" hidden="false" customHeight="true" outlineLevel="0" collapsed="false">
      <c r="A64" s="10"/>
      <c r="B64" s="10" t="s">
        <v>175</v>
      </c>
      <c r="C64" s="10"/>
      <c r="D64" s="10"/>
      <c r="E64" s="10"/>
      <c r="F64" s="11" t="n">
        <f aca="false">F6+F11+F21+F29+F36+F43+F50+F54+F59</f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" t="s">
        <v>176</v>
      </c>
    </row>
    <row r="3" customFormat="false" ht="15" hidden="false" customHeight="true" outlineLevel="0" collapsed="false">
      <c r="A3" s="12" t="s">
        <v>3</v>
      </c>
      <c r="B3" s="12" t="s">
        <v>177</v>
      </c>
      <c r="C3" s="12" t="s">
        <v>178</v>
      </c>
      <c r="D3" s="12" t="s">
        <v>14</v>
      </c>
      <c r="E3" s="12" t="s">
        <v>22</v>
      </c>
      <c r="F3" s="12" t="s">
        <v>8</v>
      </c>
    </row>
    <row r="4" customFormat="false" ht="15" hidden="false" customHeight="true" outlineLevel="0" collapsed="false">
      <c r="A4" s="13" t="s">
        <v>9</v>
      </c>
      <c r="B4" s="14" t="s">
        <v>10</v>
      </c>
      <c r="C4" s="13" t="n">
        <f aca="false">COUNTA(WBS!B7:B10)</f>
        <v>4</v>
      </c>
      <c r="D4" s="13" t="n">
        <f aca="false">COUNTIF(WBS!D7:D10,"Must")</f>
        <v>3</v>
      </c>
      <c r="E4" s="13" t="n">
        <f aca="false">COUNTIF(WBS!D7:D10,"Should")</f>
        <v>1</v>
      </c>
      <c r="F4" s="15" t="n">
        <f aca="false">WBS!F6</f>
        <v>10</v>
      </c>
    </row>
    <row r="5" customFormat="false" ht="15" hidden="false" customHeight="true" outlineLevel="0" collapsed="false">
      <c r="A5" s="13" t="s">
        <v>26</v>
      </c>
      <c r="B5" s="14" t="s">
        <v>27</v>
      </c>
      <c r="C5" s="13" t="n">
        <f aca="false">COUNTA(WBS!B12:B20)</f>
        <v>9</v>
      </c>
      <c r="D5" s="13" t="n">
        <f aca="false">COUNTIF(WBS!D12:D20,"Must")</f>
        <v>6</v>
      </c>
      <c r="E5" s="13" t="n">
        <f aca="false">COUNTIF(WBS!D12:D20,"Should")</f>
        <v>3</v>
      </c>
      <c r="F5" s="15" t="n">
        <f aca="false">WBS!F11</f>
        <v>19</v>
      </c>
    </row>
    <row r="6" customFormat="false" ht="15" hidden="false" customHeight="true" outlineLevel="0" collapsed="false">
      <c r="A6" s="13" t="s">
        <v>55</v>
      </c>
      <c r="B6" s="14" t="s">
        <v>56</v>
      </c>
      <c r="C6" s="13" t="n">
        <f aca="false">COUNTA(WBS!B22:B28)</f>
        <v>7</v>
      </c>
      <c r="D6" s="13" t="n">
        <f aca="false">COUNTIF(WBS!D22:D28,"Must")</f>
        <v>6</v>
      </c>
      <c r="E6" s="13" t="n">
        <f aca="false">COUNTIF(WBS!D22:D28,"Should")</f>
        <v>1</v>
      </c>
      <c r="F6" s="15" t="n">
        <f aca="false">WBS!F21</f>
        <v>16</v>
      </c>
    </row>
    <row r="7" customFormat="false" ht="15" hidden="false" customHeight="true" outlineLevel="0" collapsed="false">
      <c r="A7" s="13" t="s">
        <v>78</v>
      </c>
      <c r="B7" s="14" t="s">
        <v>79</v>
      </c>
      <c r="C7" s="13" t="n">
        <f aca="false">COUNTA(WBS!B30:B35)</f>
        <v>6</v>
      </c>
      <c r="D7" s="13" t="n">
        <f aca="false">COUNTIF(WBS!D30:D35,"Must")</f>
        <v>6</v>
      </c>
      <c r="E7" s="13" t="n">
        <f aca="false">COUNTIF(WBS!D30:D35,"Should")</f>
        <v>0</v>
      </c>
      <c r="F7" s="15" t="n">
        <f aca="false">WBS!F29</f>
        <v>18</v>
      </c>
    </row>
    <row r="8" customFormat="false" ht="15" hidden="false" customHeight="true" outlineLevel="0" collapsed="false">
      <c r="A8" s="13" t="s">
        <v>98</v>
      </c>
      <c r="B8" s="14" t="s">
        <v>99</v>
      </c>
      <c r="C8" s="13" t="n">
        <f aca="false">COUNTA(WBS!B37:B42)</f>
        <v>6</v>
      </c>
      <c r="D8" s="13" t="n">
        <f aca="false">COUNTIF(WBS!D37:D42,"Must")</f>
        <v>4</v>
      </c>
      <c r="E8" s="13" t="n">
        <f aca="false">COUNTIF(WBS!D37:D42,"Should")</f>
        <v>2</v>
      </c>
      <c r="F8" s="15" t="n">
        <f aca="false">WBS!F36</f>
        <v>19</v>
      </c>
    </row>
    <row r="9" customFormat="false" ht="15" hidden="false" customHeight="true" outlineLevel="0" collapsed="false">
      <c r="A9" s="13" t="s">
        <v>118</v>
      </c>
      <c r="B9" s="14" t="s">
        <v>119</v>
      </c>
      <c r="C9" s="13" t="n">
        <f aca="false">COUNTA(WBS!B44:B49)</f>
        <v>6</v>
      </c>
      <c r="D9" s="13" t="n">
        <f aca="false">COUNTIF(WBS!D44:D49,"Must")</f>
        <v>6</v>
      </c>
      <c r="E9" s="13" t="n">
        <f aca="false">COUNTIF(WBS!D44:D49,"Should")</f>
        <v>0</v>
      </c>
      <c r="F9" s="15" t="n">
        <f aca="false">WBS!F43</f>
        <v>21</v>
      </c>
    </row>
    <row r="10" customFormat="false" ht="15" hidden="false" customHeight="true" outlineLevel="0" collapsed="false">
      <c r="A10" s="13" t="s">
        <v>136</v>
      </c>
      <c r="B10" s="14" t="s">
        <v>137</v>
      </c>
      <c r="C10" s="13" t="n">
        <f aca="false">COUNTA(WBS!B51:B53)</f>
        <v>3</v>
      </c>
      <c r="D10" s="13" t="n">
        <f aca="false">COUNTIF(WBS!D51:D53,"Must")</f>
        <v>0</v>
      </c>
      <c r="E10" s="13" t="n">
        <f aca="false">COUNTIF(WBS!D51:D53,"Should")</f>
        <v>3</v>
      </c>
      <c r="F10" s="15" t="n">
        <f aca="false">WBS!F50</f>
        <v>8</v>
      </c>
    </row>
    <row r="11" customFormat="false" ht="15" hidden="false" customHeight="true" outlineLevel="0" collapsed="false">
      <c r="A11" s="13" t="s">
        <v>147</v>
      </c>
      <c r="B11" s="14" t="s">
        <v>148</v>
      </c>
      <c r="C11" s="13" t="n">
        <f aca="false">COUNTA(WBS!B55:B58)</f>
        <v>4</v>
      </c>
      <c r="D11" s="13" t="n">
        <f aca="false">COUNTIF(WBS!D55:D58,"Must")</f>
        <v>4</v>
      </c>
      <c r="E11" s="13" t="n">
        <f aca="false">COUNTIF(WBS!D55:D58,"Should")</f>
        <v>0</v>
      </c>
      <c r="F11" s="15" t="n">
        <f aca="false">WBS!F54</f>
        <v>11</v>
      </c>
    </row>
    <row r="12" customFormat="false" ht="15" hidden="false" customHeight="true" outlineLevel="0" collapsed="false">
      <c r="A12" s="13" t="s">
        <v>161</v>
      </c>
      <c r="B12" s="14" t="s">
        <v>162</v>
      </c>
      <c r="C12" s="13" t="n">
        <f aca="false">COUNTA(WBS!B60:B63)</f>
        <v>4</v>
      </c>
      <c r="D12" s="13" t="n">
        <f aca="false">COUNTIF(WBS!D60:D63,"Must")</f>
        <v>3</v>
      </c>
      <c r="E12" s="13" t="n">
        <f aca="false">COUNTIF(WBS!D60:D63,"Should")</f>
        <v>1</v>
      </c>
      <c r="F12" s="15" t="n">
        <f aca="false">WBS!F59</f>
        <v>9</v>
      </c>
    </row>
    <row r="13" customFormat="false" ht="15" hidden="false" customHeight="true" outlineLevel="0" collapsed="false">
      <c r="A13" s="16"/>
      <c r="B13" s="17" t="s">
        <v>179</v>
      </c>
      <c r="C13" s="16" t="n">
        <f aca="false">SUM(C4:C12)</f>
        <v>49</v>
      </c>
      <c r="D13" s="16" t="n">
        <f aca="false">SUM(D4:D12)</f>
        <v>38</v>
      </c>
      <c r="E13" s="16" t="n">
        <f aca="false">SUM(E4:E12)</f>
        <v>11</v>
      </c>
      <c r="F13" s="16" t="n">
        <f aca="false">SUM(F4:F12)</f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2026-10-21T11:23:41Z</dcterms:created>
  <dc:creator>openpyxl</dc:creator>
  <dc:description/>
  <dc:language>en-US</dc:language>
  <cp:lastModifiedBy/>
  <dcterms:modified xsi:type="dcterms:W3CDTF">2026-10-22T06:11:01Z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